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From_Jingyun\"/>
    </mc:Choice>
  </mc:AlternateContent>
  <bookViews>
    <workbookView xWindow="0" yWindow="0" windowWidth="24576" windowHeight="8844"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6" i="2" l="1"/>
  <c r="C7" i="2" s="1"/>
  <c r="C8" i="2" l="1"/>
  <c r="C14" i="2"/>
  <c r="C15" i="2" s="1"/>
  <c r="C16" i="2" s="1"/>
  <c r="C19" i="2" s="1"/>
  <c r="C22" i="2" s="1"/>
  <c r="C25" i="2" s="1"/>
  <c r="C33" i="2" s="1"/>
  <c r="C37" i="2" s="1"/>
  <c r="C46" i="2" s="1"/>
  <c r="C47" i="2" s="1"/>
  <c r="C48" i="2" s="1"/>
  <c r="C49" i="2" s="1"/>
  <c r="C50" i="2" s="1"/>
  <c r="C53" i="2" s="1"/>
  <c r="C60" i="2" s="1"/>
  <c r="C69" i="2" s="1"/>
  <c r="C71" i="2" s="1"/>
  <c r="C72" i="2" s="1"/>
  <c r="C73" i="2" s="1"/>
  <c r="C74"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<sst xmlns="http://schemas.openxmlformats.org/spreadsheetml/2006/main" count="625" uniqueCount="250">
  <si>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</si>
  <si>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</si>
  <si>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</si>
  <si>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</si>
  <si>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</si>
  <si>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</si>
  <si>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</si>
  <si>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</si>
  <si>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</si>
  <si>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</si>
  <si>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</si>
  <si>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</si>
  <si>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</si>
  <si>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</si>
  <si>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</si>
  <si>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</si>
  <si>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</si>
  <si>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</si>
  <si>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</si>
  <si>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</si>
  <si>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</si>
  <si>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</si>
  <si>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</si>
  <si>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</si>
  <si>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</si>
  <si>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</si>
  <si>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</si>
  <si>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</si>
  <si>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</si>
  <si>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</si>
  <si>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</si>
  <si>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</si>
  <si>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</si>
  <si>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</si>
  <si>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</si>
  <si>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</si>
  <si>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</si>
  <si>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</si>
  <si>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</si>
  <si>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</si>
  <si>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</si>
  <si>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</si>
  <si>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</si>
  <si>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</si>
  <si>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</si>
  <si>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</si>
  <si>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</si>
  <si>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</si>
  <si>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</si>
  <si>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</si>
  <si>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</si>
  <si>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</si>
  <si>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</si>
  <si>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</si>
  <si>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</si>
  <si>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</si>
  <si>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</si>
  <si>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</si>
  <si>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</si>
  <si>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</si>
  <si>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</si>
  <si>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</si>
  <si>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</si>
  <si>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</si>
  <si>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</si>
  <si>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</si>
  <si>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</si>
  <si>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</si>
  <si>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</si>
  <si>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</si>
  <si>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</si>
  <si>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</si>
  <si>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</si>
  <si>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</si>
  <si>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</si>
  <si>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</si>
  <si>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</si>
  <si>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</si>
  <si>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</si>
  <si>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</si>
  <si>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</si>
  <si>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</si>
  <si>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</si>
  <si>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</si>
  <si>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</si>
  <si>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</si>
  <si>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</si>
  <si>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</si>
  <si>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</si>
  <si>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</si>
  <si>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</si>
  <si>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</si>
  <si>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</si>
  <si>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</si>
  <si>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InterfaceID</t>
  </si>
  <si>
    <t>The ID number of the Interface (e.g. Port number)</t>
  </si>
  <si>
    <t>32'h00001F10</t>
  </si>
  <si>
    <t>PcsPmaStatus</t>
  </si>
  <si>
    <t>MacStatusVector</t>
  </si>
  <si>
    <t>1:0</t>
  </si>
  <si>
    <t>2'h0</t>
  </si>
  <si>
    <t>RemoteFaultReceived</t>
  </si>
  <si>
    <t>If this bit is 1, the RS layer is receiving remote fault ordered sets</t>
  </si>
  <si>
    <t>LocalFaultReceived</t>
  </si>
  <si>
    <t>If this bit is 1, the RS layer is receiving local fault ordered sets</t>
  </si>
  <si>
    <t>MAC Status Vector</t>
  </si>
  <si>
    <t>PCS and PMA Status</t>
  </si>
  <si>
    <t>7:0</t>
  </si>
  <si>
    <t>PcsBlockLock</t>
  </si>
  <si>
    <t>PCS block lock</t>
  </si>
  <si>
    <t>FecSignalDetect</t>
  </si>
  <si>
    <t>Equivalent to Training Done AND Signal Detect AND an_link_up</t>
  </si>
  <si>
    <t>PmdSignalDetect</t>
  </si>
  <si>
    <t>pmd_signal_detect - Equivalent to Training Done AND Signal Detect</t>
  </si>
  <si>
    <t>AnComplete</t>
  </si>
  <si>
    <t>Autonegotiation Complete</t>
  </si>
  <si>
    <t>AnEnable</t>
  </si>
  <si>
    <t>Autonegotiation enabled</t>
  </si>
  <si>
    <t>4</t>
  </si>
  <si>
    <t>AnLinkUp</t>
  </si>
  <si>
    <t>AutoNegotiationLinkUp</t>
  </si>
  <si>
    <t>5</t>
  </si>
  <si>
    <t>Reserved</t>
  </si>
  <si>
    <t>Resereved</t>
  </si>
  <si>
    <t>7:6</t>
  </si>
  <si>
    <t>1'h0</t>
  </si>
  <si>
    <t>1'h1</t>
  </si>
  <si>
    <t>PcsPmaStatusVector0</t>
  </si>
  <si>
    <t>PmaReset</t>
  </si>
  <si>
    <t>15</t>
  </si>
  <si>
    <t xml:space="preserve">PMA Reset </t>
  </si>
  <si>
    <t>BASE-R</t>
  </si>
  <si>
    <t>PmaPmdRxLinkStatus</t>
  </si>
  <si>
    <t>PMA PMD RX Link Status (latching Low)</t>
  </si>
  <si>
    <t>18</t>
  </si>
  <si>
    <t>PmaPmdFault</t>
  </si>
  <si>
    <t>PMA PMD fault (logical or of two latching bits)</t>
  </si>
  <si>
    <t>23</t>
  </si>
  <si>
    <t>PCS and PMA Status Vector, bits 31:0</t>
  </si>
  <si>
    <t>PCS and PMA Status Vector, bits 63:32</t>
  </si>
  <si>
    <t>PmaLoopbackAbility</t>
  </si>
  <si>
    <t>PMA Loopback ability</t>
  </si>
  <si>
    <t>TransmitDisableAbility</t>
  </si>
  <si>
    <t>Transmit disable ability</t>
  </si>
  <si>
    <t>8</t>
  </si>
  <si>
    <t>PmaPmdRxFault</t>
  </si>
  <si>
    <t>PMA PMD Rx fault (latching high)</t>
  </si>
  <si>
    <t>10</t>
  </si>
  <si>
    <t>PmaPmdTxFault</t>
  </si>
  <si>
    <t>PMA PMD Tx fault (latching high)</t>
  </si>
  <si>
    <t>11</t>
  </si>
  <si>
    <t>PmaPmdRxFaultAbility</t>
  </si>
  <si>
    <t>PMA PMD Rx fault ability</t>
  </si>
  <si>
    <t>12</t>
  </si>
  <si>
    <t>PmaPmdTxFaultAbility</t>
  </si>
  <si>
    <t>PMA PMD Tx fault ability</t>
  </si>
  <si>
    <t>13</t>
  </si>
  <si>
    <t>DeviceResponding</t>
  </si>
  <si>
    <t>Device Responding, MDIO register 1.8</t>
  </si>
  <si>
    <t>GlobalPmdRxSignalDetect</t>
  </si>
  <si>
    <t>Global PMD Rx signal detect</t>
  </si>
  <si>
    <t>16</t>
  </si>
  <si>
    <t>PCS and PMA Status Vector, bits 95:64</t>
  </si>
  <si>
    <t>PcsPmaStatusVector1</t>
  </si>
  <si>
    <t>PcsPmaStatusVector2</t>
  </si>
  <si>
    <t>PcsPmaStatusVector3</t>
  </si>
  <si>
    <t>PCS and PMA Status Vector, bits 127:96</t>
  </si>
  <si>
    <t>PcsPmaStatusVector4</t>
  </si>
  <si>
    <t>PCS and PMA Status Vector, bits 159:128</t>
  </si>
  <si>
    <t>PcsPmaStatusVector5</t>
  </si>
  <si>
    <t>PCS and PMA Status Vector, bits 191:160</t>
  </si>
  <si>
    <t>PcsPmaStatusVector6</t>
  </si>
  <si>
    <t>PCS and PMA Status Vector, bits 223:192</t>
  </si>
  <si>
    <t>MDIO Register 1.65535 - Core Version Info</t>
  </si>
  <si>
    <t>15:0</t>
  </si>
  <si>
    <t>CoreVersionInfo</t>
  </si>
  <si>
    <t>PcsReset</t>
  </si>
  <si>
    <t>PCS Reset</t>
  </si>
  <si>
    <t>31</t>
  </si>
  <si>
    <t>PcsPmaStatusVector7</t>
  </si>
  <si>
    <t>PCS and PMA Status Vector, bits 255:224</t>
  </si>
  <si>
    <t>PcsRxLinkStatus</t>
  </si>
  <si>
    <t>PCS Rx Link Status (Latching Low)</t>
  </si>
  <si>
    <t>2</t>
  </si>
  <si>
    <t>PcsFault</t>
  </si>
  <si>
    <t>PCS Fault - logical OR of two latching bits</t>
  </si>
  <si>
    <t>7</t>
  </si>
  <si>
    <t>10GbaseRAbility</t>
  </si>
  <si>
    <t>10G Base-R Ability</t>
  </si>
  <si>
    <t>PcsRxFault</t>
  </si>
  <si>
    <t>PCS Rx Fault (latching high)</t>
  </si>
  <si>
    <t>26</t>
  </si>
  <si>
    <t>PcsTxFault</t>
  </si>
  <si>
    <t>PCS Tx Fault (latching high)</t>
  </si>
  <si>
    <t>27</t>
  </si>
  <si>
    <t>Device Responding, MDIO register 3.8</t>
  </si>
  <si>
    <t>PcsPmaStatusVector8</t>
  </si>
  <si>
    <t>PCS and PMA Status Vector, bits 287:256</t>
  </si>
  <si>
    <t>PcsRxLocked</t>
  </si>
  <si>
    <t>10G Base-R PCS Rx Locked</t>
  </si>
  <si>
    <t>PcsHighBer</t>
  </si>
  <si>
    <t>10G Base-R PCS High BER</t>
  </si>
  <si>
    <t>1</t>
  </si>
  <si>
    <t>Prbs31Support</t>
  </si>
  <si>
    <t>PRBS31 Support</t>
  </si>
  <si>
    <t>PcsRxLinkStauts</t>
  </si>
  <si>
    <t>10G Base-R PCS Rx Link Status</t>
  </si>
  <si>
    <t>PcsErroredBlocksCounters</t>
  </si>
  <si>
    <t>10G Base-R PCS errored blocks counter</t>
  </si>
  <si>
    <t>23:16</t>
  </si>
  <si>
    <t>PcsBerCounter</t>
  </si>
  <si>
    <t>10G Base-R PCS BER counter</t>
  </si>
  <si>
    <t>29:24</t>
  </si>
  <si>
    <t>PcsPmaStatusVector9</t>
  </si>
  <si>
    <t>RxHighBer</t>
  </si>
  <si>
    <t>Latched High Rx high BER</t>
  </si>
  <si>
    <t>30</t>
  </si>
  <si>
    <t>RxBlockLock</t>
  </si>
  <si>
    <t>Latched Low RX block lock</t>
  </si>
  <si>
    <t>TestPatternErrorCounter</t>
  </si>
  <si>
    <t>10G Base-R test pattern error counter</t>
  </si>
  <si>
    <t>16'h0</t>
  </si>
  <si>
    <t>8'h0</t>
  </si>
  <si>
    <t>6'h0</t>
  </si>
  <si>
    <t>PcsPmaStatusVector10</t>
  </si>
  <si>
    <t>PcsPmaStatusVector11</t>
  </si>
  <si>
    <t>PCS and PMA Status Vector, bits 319:288</t>
  </si>
  <si>
    <t>PCS and PMA Status Vector, bits 383:352</t>
  </si>
  <si>
    <t>PCS and PMA Status Vector, bits 351:320</t>
  </si>
  <si>
    <t>PcsPmaStatusVector12</t>
  </si>
  <si>
    <t>PCS and PMA Status Vector, bits 415:384</t>
  </si>
  <si>
    <t>PcsPmaStatusVector13</t>
  </si>
  <si>
    <t>PCS and PMA Status Vector, bits 447:416</t>
  </si>
  <si>
    <t>nf_10g_interface_shared</t>
  </si>
  <si>
    <t>NF_10G_INTERFACE_SHARED</t>
  </si>
  <si>
    <t>Endian Type</t>
  </si>
  <si>
    <t>Little</t>
  </si>
  <si>
    <t>NF_10G_INTERFACE</t>
  </si>
  <si>
    <t>Reset</t>
  </si>
  <si>
    <t>Reset elemens of the module</t>
  </si>
  <si>
    <t>WOE</t>
  </si>
  <si>
    <t>Asserting this bit, will clear all counters</t>
  </si>
  <si>
    <t>nf_10g_interface</t>
  </si>
  <si>
    <t>Asserting this bit, will reset (return to default value) all registers</t>
  </si>
  <si>
    <t>RFU</t>
  </si>
  <si>
    <t>Reserved for future use, reset tables</t>
  </si>
  <si>
    <t>Reserved for future use, reset module</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</si>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</sst>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46">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0" fillId="0" borderId="2" xfId="0" applyFill="1" applyBorder="1" applyAlignment="1">
      <alignment vertical="top" wrapText="1"/>
    </xf>
    <xf numFmtId="0" fontId="4" fillId="0" borderId="2" xfId="1" applyFont="1" applyBorder="1" applyAlignment="1">
      <alignment horizontal="center" vertical="top" wrapText="1"/>
    </xf>
    <xf numFmtId="0" fontId="4" fillId="0" borderId="2" xfId="1" applyFill="1" applyBorder="1"/>
    <xf numFmtId="0" fontId="4" fillId="0" borderId="2" xfId="1" applyFont="1" applyBorder="1" applyAlignment="1">
      <alignment vertical="top"/>
    </xf>
    <xf numFmtId="0" fontId="4" fillId="0" borderId="2" xfId="1" applyFont="1" applyBorder="1" applyAlignment="1">
      <alignment horizontal="left" vertical="top"/>
    </xf>
    <xf numFmtId="0" fontId="4" fillId="0" borderId="2" xfId="0" applyFont="1" applyBorder="1" applyAlignment="1">
      <alignment vertical="top" wrapText="1"/>
    </xf>
    <xf numFmtId="49" fontId="4" fillId="0" borderId="2" xfId="1" applyNumberFormat="1" applyFont="1" applyBorder="1" applyAlignment="1">
      <alignment horizontal="center" vertical="top"/>
    </xf>
    <xf numFmtId="49" fontId="4" fillId="0" borderId="2" xfId="1" applyNumberFormat="1" applyFon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1592580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74"/>
  <sheetViews>
    <sheetView tabSelected="1" zoomScale="85" zoomScaleNormal="85" workbookViewId="0">
      <selection activeCell="A7" sqref="A7:A8"/>
    </sheetView>
  </sheetViews>
  <sheetFormatPr defaultRowHeight="13.2"/>
  <cols>
    <col min="1" max="1" width="27" style="5" bestFit="1" customWidth="1"/>
    <col min="2" max="2" width="23.88671875" style="5" bestFit="1" customWidth="1"/>
    <col min="3" max="3" width="9.33203125" style="6" bestFit="1" customWidth="1"/>
    <col min="4" max="4" width="51.88671875" style="7" bestFit="1" customWidth="1"/>
    <col min="5" max="5" width="7.44140625" style="5" bestFit="1" customWidth="1"/>
    <col min="6" max="6" width="9.6640625" style="8" bestFit="1" customWidth="1"/>
    <col min="7" max="7" width="7.33203125" style="9" bestFit="1" customWidth="1"/>
    <col min="8" max="8" width="8" style="10" bestFit="1" customWidth="1"/>
    <col min="9" max="9" width="27" style="10" bestFit="1" customWidth="1"/>
    <col min="10" max="10" width="12.5546875" style="5" bestFit="1" customWidth="1"/>
    <col min="11" max="11" width="35.88671875" style="5" bestFit="1" customWidth="1"/>
    <col min="12"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14" t="s">
        <v>87</v>
      </c>
    </row>
    <row r="2" spans="1:12" ht="14.4">
      <c r="E2" s="5" t="s">
        <v>78</v>
      </c>
      <c r="F2" s="13" t="s">
        <v>79</v>
      </c>
      <c r="L2" s="14" t="s">
        <v>88</v>
      </c>
    </row>
    <row r="3" spans="1:12">
      <c r="L3" s="15" t="s">
        <v>89</v>
      </c>
    </row>
    <row r="4" spans="1:12" ht="26.4">
      <c r="A4" s="18" t="s">
        <v>42</v>
      </c>
      <c r="B4" s="18"/>
      <c r="C4" s="19" t="s">
        <v>43</v>
      </c>
      <c r="D4" s="20" t="s">
        <v>44</v>
      </c>
      <c r="E4" s="18" t="s">
        <v>45</v>
      </c>
      <c r="F4" s="21" t="s">
        <v>46</v>
      </c>
      <c r="G4" s="16" t="s">
        <v>235</v>
      </c>
      <c r="H4" s="16" t="s">
        <v>47</v>
      </c>
      <c r="I4" s="22" t="s">
        <v>57</v>
      </c>
      <c r="J4" s="22" t="s">
        <v>48</v>
      </c>
      <c r="K4" s="18" t="s">
        <v>49</v>
      </c>
      <c r="L4" s="15" t="s">
        <v>90</v>
      </c>
    </row>
    <row r="5" spans="1:12" s="11" customFormat="1" ht="28.8">
      <c r="A5" s="12" t="s">
        <v>234</v>
      </c>
      <c r="B5" s="12" t="s">
        <v>53</v>
      </c>
      <c r="C5" s="23" t="s">
        <v>50</v>
      </c>
      <c r="D5" s="13" t="s">
        <v>58</v>
      </c>
      <c r="E5" s="12" t="s">
        <v>51</v>
      </c>
      <c r="F5" s="24" t="s">
        <v>52</v>
      </c>
      <c r="G5" s="17" t="s">
        <v>236</v>
      </c>
      <c r="H5" s="17"/>
      <c r="I5" s="12" t="s">
        <v>234</v>
      </c>
      <c r="J5" s="25"/>
      <c r="K5" s="12"/>
      <c r="L5" s="15" t="s">
        <v>247</v>
      </c>
    </row>
    <row r="6" spans="1:12" ht="28.8">
      <c r="A6" s="12" t="s">
        <v>234</v>
      </c>
      <c r="B6" s="12" t="s">
        <v>59</v>
      </c>
      <c r="C6" s="26" t="str">
        <f>DEC2HEX(0)</f>
        <v>0</v>
      </c>
      <c r="D6" s="13" t="s">
        <v>60</v>
      </c>
      <c r="E6" s="27" t="s">
        <v>54</v>
      </c>
      <c r="F6" s="28" t="s">
        <v>61</v>
      </c>
      <c r="G6" s="17" t="s">
        <v>236</v>
      </c>
      <c r="H6" s="29" t="s">
        <v>56</v>
      </c>
      <c r="I6" s="12" t="s">
        <v>234</v>
      </c>
      <c r="J6" s="30" t="s">
        <v>96</v>
      </c>
      <c r="K6" s="27"/>
      <c r="L6" s="15" t="s">
        <v>91</v>
      </c>
    </row>
    <row r="7" spans="1:12" ht="14.4">
      <c r="A7" s="12" t="s">
        <v>234</v>
      </c>
      <c r="B7" s="12" t="s">
        <v>64</v>
      </c>
      <c r="C7" s="26" t="str">
        <f>DEC2HEX(HEX2DEC(C6)+4)</f>
        <v>4</v>
      </c>
      <c r="D7" s="13" t="s">
        <v>65</v>
      </c>
      <c r="E7" s="27" t="s">
        <v>54</v>
      </c>
      <c r="F7" s="28" t="s">
        <v>61</v>
      </c>
      <c r="G7" s="17" t="s">
        <v>236</v>
      </c>
      <c r="H7" s="29" t="s">
        <v>56</v>
      </c>
      <c r="I7" s="12" t="s">
        <v>234</v>
      </c>
      <c r="J7" s="30" t="s">
        <v>63</v>
      </c>
      <c r="K7" s="27"/>
      <c r="L7" s="15" t="s">
        <v>92</v>
      </c>
    </row>
    <row r="8" spans="1:12" ht="14.4">
      <c r="A8" s="12" t="s">
        <v>234</v>
      </c>
      <c r="B8" s="12" t="s">
        <v>238</v>
      </c>
      <c r="C8" s="26" t="str">
        <f t="shared" ref="C8" si="0">DEC2HEX(HEX2DEC(C7)+4)</f>
        <v>8</v>
      </c>
      <c r="D8" s="13" t="s">
        <v>239</v>
      </c>
      <c r="E8" s="27" t="s">
        <v>54</v>
      </c>
      <c r="F8" s="28" t="s">
        <v>174</v>
      </c>
      <c r="G8" s="17" t="s">
        <v>236</v>
      </c>
      <c r="H8" s="29" t="s">
        <v>240</v>
      </c>
      <c r="I8" s="12" t="s">
        <v>237</v>
      </c>
      <c r="J8" s="30" t="s">
        <v>221</v>
      </c>
      <c r="K8" s="27"/>
      <c r="L8" s="15" t="s">
        <v>93</v>
      </c>
    </row>
    <row r="9" spans="1:12" s="11" customFormat="1" ht="14.4">
      <c r="A9" s="31"/>
      <c r="B9" s="31" t="s">
        <v>248</v>
      </c>
      <c r="C9" s="32"/>
      <c r="D9" s="33" t="s">
        <v>241</v>
      </c>
      <c r="E9" s="31" t="s">
        <v>55</v>
      </c>
      <c r="F9" s="34" t="s">
        <v>52</v>
      </c>
      <c r="G9" s="31"/>
      <c r="H9" s="35" t="s">
        <v>240</v>
      </c>
      <c r="I9" s="36" t="s">
        <v>242</v>
      </c>
      <c r="J9" s="37" t="s">
        <v>125</v>
      </c>
      <c r="K9" s="31"/>
    </row>
    <row r="10" spans="1:12" s="11" customFormat="1" ht="28.8">
      <c r="A10" s="31"/>
      <c r="B10" s="31" t="s">
        <v>249</v>
      </c>
      <c r="C10" s="32"/>
      <c r="D10" s="33" t="s">
        <v>243</v>
      </c>
      <c r="E10" s="31" t="s">
        <v>55</v>
      </c>
      <c r="F10" s="34" t="s">
        <v>118</v>
      </c>
      <c r="G10" s="31"/>
      <c r="H10" s="35" t="s">
        <v>240</v>
      </c>
      <c r="I10" s="36" t="s">
        <v>242</v>
      </c>
      <c r="J10" s="37" t="s">
        <v>125</v>
      </c>
      <c r="K10" s="31"/>
    </row>
    <row r="11" spans="1:12" s="11" customFormat="1" ht="14.4">
      <c r="A11" s="31"/>
      <c r="B11" s="31" t="s">
        <v>244</v>
      </c>
      <c r="C11" s="32"/>
      <c r="D11" s="33" t="s">
        <v>245</v>
      </c>
      <c r="E11" s="31" t="s">
        <v>55</v>
      </c>
      <c r="F11" s="34" t="s">
        <v>144</v>
      </c>
      <c r="G11" s="31"/>
      <c r="H11" s="35" t="s">
        <v>240</v>
      </c>
      <c r="I11" s="36" t="s">
        <v>242</v>
      </c>
      <c r="J11" s="37" t="s">
        <v>125</v>
      </c>
      <c r="K11" s="31"/>
    </row>
    <row r="12" spans="1:12" s="11" customFormat="1" ht="14.4">
      <c r="A12" s="31"/>
      <c r="B12" s="31" t="s">
        <v>244</v>
      </c>
      <c r="C12" s="32"/>
      <c r="D12" s="33" t="s">
        <v>246</v>
      </c>
      <c r="E12" s="31" t="s">
        <v>55</v>
      </c>
      <c r="F12" s="34" t="s">
        <v>153</v>
      </c>
      <c r="G12" s="31"/>
      <c r="H12" s="35" t="s">
        <v>240</v>
      </c>
      <c r="I12" s="36" t="s">
        <v>242</v>
      </c>
      <c r="J12" s="37" t="s">
        <v>125</v>
      </c>
      <c r="K12" s="31"/>
    </row>
    <row r="13" spans="1:12" ht="28.8">
      <c r="A13" s="12" t="s">
        <v>234</v>
      </c>
      <c r="B13" s="12" t="s">
        <v>66</v>
      </c>
      <c r="C13" s="26" t="str">
        <f>DEC2HEX(HEX2DEC(C8)+4)</f>
        <v>C</v>
      </c>
      <c r="D13" s="13" t="s">
        <v>67</v>
      </c>
      <c r="E13" s="27" t="s">
        <v>54</v>
      </c>
      <c r="F13" s="28" t="s">
        <v>61</v>
      </c>
      <c r="G13" s="17" t="s">
        <v>236</v>
      </c>
      <c r="H13" s="29" t="s">
        <v>68</v>
      </c>
      <c r="I13" s="12" t="s">
        <v>234</v>
      </c>
      <c r="J13" s="30" t="s">
        <v>62</v>
      </c>
      <c r="K13" s="27" t="s">
        <v>69</v>
      </c>
      <c r="L13" s="15"/>
    </row>
    <row r="14" spans="1:12" ht="28.8">
      <c r="A14" s="12" t="s">
        <v>234</v>
      </c>
      <c r="B14" s="12" t="s">
        <v>77</v>
      </c>
      <c r="C14" s="26" t="str">
        <f t="shared" ref="C14:C16" si="1">DEC2HEX(HEX2DEC(C13)+4)</f>
        <v>10</v>
      </c>
      <c r="D14" s="13" t="s">
        <v>86</v>
      </c>
      <c r="E14" s="27" t="s">
        <v>54</v>
      </c>
      <c r="F14" s="28" t="s">
        <v>61</v>
      </c>
      <c r="G14" s="17" t="s">
        <v>236</v>
      </c>
      <c r="H14" s="29" t="s">
        <v>68</v>
      </c>
      <c r="I14" s="12" t="s">
        <v>234</v>
      </c>
      <c r="J14" s="30" t="s">
        <v>62</v>
      </c>
      <c r="K14" s="27"/>
    </row>
    <row r="15" spans="1:12" ht="14.4">
      <c r="A15" s="12" t="s">
        <v>234</v>
      </c>
      <c r="B15" s="12" t="s">
        <v>94</v>
      </c>
      <c r="C15" s="26" t="str">
        <f t="shared" si="1"/>
        <v>14</v>
      </c>
      <c r="D15" s="13" t="s">
        <v>95</v>
      </c>
      <c r="E15" s="27" t="s">
        <v>54</v>
      </c>
      <c r="F15" s="28" t="s">
        <v>61</v>
      </c>
      <c r="G15" s="17" t="s">
        <v>236</v>
      </c>
      <c r="H15" s="29" t="s">
        <v>56</v>
      </c>
      <c r="I15" s="12" t="s">
        <v>234</v>
      </c>
      <c r="J15" s="30" t="s">
        <v>62</v>
      </c>
      <c r="K15" s="27"/>
    </row>
    <row r="16" spans="1:12" s="11" customFormat="1" ht="14.4">
      <c r="A16" s="12" t="s">
        <v>234</v>
      </c>
      <c r="B16" s="12" t="s">
        <v>80</v>
      </c>
      <c r="C16" s="26" t="str">
        <f t="shared" si="1"/>
        <v>18</v>
      </c>
      <c r="D16" s="13" t="s">
        <v>74</v>
      </c>
      <c r="E16" s="12" t="s">
        <v>54</v>
      </c>
      <c r="F16" s="24" t="s">
        <v>61</v>
      </c>
      <c r="G16" s="17" t="s">
        <v>236</v>
      </c>
      <c r="H16" s="17" t="s">
        <v>70</v>
      </c>
      <c r="I16" s="12" t="s">
        <v>234</v>
      </c>
      <c r="J16" s="25" t="s">
        <v>62</v>
      </c>
      <c r="K16" s="12"/>
    </row>
    <row r="17" spans="1:11" s="11" customFormat="1" ht="14.4">
      <c r="A17" s="31"/>
      <c r="B17" s="31" t="s">
        <v>80</v>
      </c>
      <c r="C17" s="32"/>
      <c r="D17" s="33" t="s">
        <v>75</v>
      </c>
      <c r="E17" s="31" t="s">
        <v>55</v>
      </c>
      <c r="F17" s="34" t="s">
        <v>72</v>
      </c>
      <c r="G17" s="31"/>
      <c r="H17" s="35" t="s">
        <v>70</v>
      </c>
      <c r="I17" s="36" t="s">
        <v>233</v>
      </c>
      <c r="J17" s="37" t="s">
        <v>71</v>
      </c>
      <c r="K17" s="31"/>
    </row>
    <row r="18" spans="1:11" s="11" customFormat="1" ht="14.4">
      <c r="A18" s="31"/>
      <c r="B18" s="31" t="s">
        <v>81</v>
      </c>
      <c r="C18" s="32"/>
      <c r="D18" s="33" t="s">
        <v>73</v>
      </c>
      <c r="E18" s="31" t="s">
        <v>55</v>
      </c>
      <c r="F18" s="31">
        <v>31</v>
      </c>
      <c r="G18" s="31"/>
      <c r="H18" s="35" t="s">
        <v>70</v>
      </c>
      <c r="I18" s="36" t="s">
        <v>233</v>
      </c>
      <c r="J18" s="37" t="s">
        <v>125</v>
      </c>
      <c r="K18" s="31"/>
    </row>
    <row r="19" spans="1:11" s="11" customFormat="1" ht="14.4">
      <c r="A19" s="12" t="s">
        <v>234</v>
      </c>
      <c r="B19" s="12" t="s">
        <v>82</v>
      </c>
      <c r="C19" s="26" t="str">
        <f>DEC2HEX(HEX2DEC(C16)+4)</f>
        <v>1C</v>
      </c>
      <c r="D19" s="13" t="s">
        <v>85</v>
      </c>
      <c r="E19" s="12" t="s">
        <v>54</v>
      </c>
      <c r="F19" s="24" t="s">
        <v>61</v>
      </c>
      <c r="G19" s="17" t="s">
        <v>236</v>
      </c>
      <c r="H19" s="17" t="s">
        <v>70</v>
      </c>
      <c r="I19" s="12" t="s">
        <v>234</v>
      </c>
      <c r="J19" s="25" t="s">
        <v>62</v>
      </c>
      <c r="K19" s="12"/>
    </row>
    <row r="20" spans="1:11" s="11" customFormat="1" ht="14.4">
      <c r="A20" s="31"/>
      <c r="B20" s="31" t="s">
        <v>83</v>
      </c>
      <c r="C20" s="32"/>
      <c r="D20" s="33" t="s">
        <v>76</v>
      </c>
      <c r="E20" s="31" t="s">
        <v>55</v>
      </c>
      <c r="F20" s="34" t="s">
        <v>72</v>
      </c>
      <c r="G20" s="31"/>
      <c r="H20" s="35" t="s">
        <v>70</v>
      </c>
      <c r="I20" s="36" t="s">
        <v>233</v>
      </c>
      <c r="J20" s="37" t="s">
        <v>71</v>
      </c>
      <c r="K20" s="31"/>
    </row>
    <row r="21" spans="1:11" s="11" customFormat="1" ht="14.4">
      <c r="A21" s="31"/>
      <c r="B21" s="31" t="s">
        <v>84</v>
      </c>
      <c r="C21" s="32"/>
      <c r="D21" s="33" t="s">
        <v>73</v>
      </c>
      <c r="E21" s="31" t="s">
        <v>55</v>
      </c>
      <c r="F21" s="31">
        <v>31</v>
      </c>
      <c r="G21" s="31"/>
      <c r="H21" s="35" t="s">
        <v>70</v>
      </c>
      <c r="I21" s="36" t="s">
        <v>233</v>
      </c>
      <c r="J21" s="37" t="s">
        <v>125</v>
      </c>
      <c r="K21" s="31"/>
    </row>
    <row r="22" spans="1:11" s="11" customFormat="1" ht="14.4">
      <c r="A22" s="12" t="s">
        <v>234</v>
      </c>
      <c r="B22" s="12" t="s">
        <v>98</v>
      </c>
      <c r="C22" s="26" t="str">
        <f>DEC2HEX(HEX2DEC(C19)+4)</f>
        <v>20</v>
      </c>
      <c r="D22" s="13" t="s">
        <v>105</v>
      </c>
      <c r="E22" s="12" t="s">
        <v>54</v>
      </c>
      <c r="F22" s="24" t="s">
        <v>99</v>
      </c>
      <c r="G22" s="17" t="s">
        <v>236</v>
      </c>
      <c r="H22" s="17" t="s">
        <v>56</v>
      </c>
      <c r="I22" s="12" t="s">
        <v>234</v>
      </c>
      <c r="J22" s="25" t="s">
        <v>100</v>
      </c>
      <c r="K22" s="12"/>
    </row>
    <row r="23" spans="1:11" ht="14.4">
      <c r="A23" s="32"/>
      <c r="B23" s="32" t="s">
        <v>103</v>
      </c>
      <c r="C23" s="32"/>
      <c r="D23" s="38" t="s">
        <v>104</v>
      </c>
      <c r="E23" s="32" t="s">
        <v>55</v>
      </c>
      <c r="F23" s="32">
        <v>0</v>
      </c>
      <c r="G23" s="39"/>
      <c r="H23" s="32" t="s">
        <v>56</v>
      </c>
      <c r="I23" s="36" t="s">
        <v>233</v>
      </c>
      <c r="J23" s="37" t="s">
        <v>125</v>
      </c>
      <c r="K23" s="32"/>
    </row>
    <row r="24" spans="1:11" ht="28.8">
      <c r="A24" s="32"/>
      <c r="B24" s="32" t="s">
        <v>101</v>
      </c>
      <c r="C24" s="32"/>
      <c r="D24" s="38" t="s">
        <v>102</v>
      </c>
      <c r="E24" s="32" t="s">
        <v>55</v>
      </c>
      <c r="F24" s="32">
        <v>1</v>
      </c>
      <c r="G24" s="39"/>
      <c r="H24" s="32" t="s">
        <v>56</v>
      </c>
      <c r="I24" s="36" t="s">
        <v>233</v>
      </c>
      <c r="J24" s="37" t="s">
        <v>125</v>
      </c>
      <c r="K24" s="32"/>
    </row>
    <row r="25" spans="1:11" s="11" customFormat="1" ht="14.4">
      <c r="A25" s="12" t="s">
        <v>234</v>
      </c>
      <c r="B25" s="12" t="s">
        <v>97</v>
      </c>
      <c r="C25" s="26" t="str">
        <f>DEC2HEX(HEX2DEC(C22)+4)</f>
        <v>24</v>
      </c>
      <c r="D25" s="13" t="s">
        <v>106</v>
      </c>
      <c r="E25" s="12" t="s">
        <v>54</v>
      </c>
      <c r="F25" s="24" t="s">
        <v>107</v>
      </c>
      <c r="G25" s="17" t="s">
        <v>236</v>
      </c>
      <c r="H25" s="17" t="s">
        <v>56</v>
      </c>
      <c r="I25" s="12" t="s">
        <v>234</v>
      </c>
      <c r="J25" s="25" t="s">
        <v>100</v>
      </c>
      <c r="K25" s="12"/>
    </row>
    <row r="26" spans="1:11" ht="14.4">
      <c r="A26" s="32"/>
      <c r="B26" s="32" t="s">
        <v>108</v>
      </c>
      <c r="C26" s="32"/>
      <c r="D26" s="38" t="s">
        <v>109</v>
      </c>
      <c r="E26" s="32" t="s">
        <v>55</v>
      </c>
      <c r="F26" s="32">
        <v>0</v>
      </c>
      <c r="G26" s="39"/>
      <c r="H26" s="32" t="s">
        <v>56</v>
      </c>
      <c r="I26" s="36" t="s">
        <v>233</v>
      </c>
      <c r="J26" s="37" t="s">
        <v>125</v>
      </c>
      <c r="K26" s="32"/>
    </row>
    <row r="27" spans="1:11" ht="28.8">
      <c r="A27" s="32"/>
      <c r="B27" s="32" t="s">
        <v>110</v>
      </c>
      <c r="C27" s="32"/>
      <c r="D27" s="38" t="s">
        <v>111</v>
      </c>
      <c r="E27" s="32" t="s">
        <v>55</v>
      </c>
      <c r="F27" s="32">
        <v>1</v>
      </c>
      <c r="G27" s="39"/>
      <c r="H27" s="32" t="s">
        <v>56</v>
      </c>
      <c r="I27" s="36" t="s">
        <v>233</v>
      </c>
      <c r="J27" s="37" t="s">
        <v>125</v>
      </c>
      <c r="K27" s="32"/>
    </row>
    <row r="28" spans="1:11" ht="28.8">
      <c r="A28" s="32"/>
      <c r="B28" s="32" t="s">
        <v>112</v>
      </c>
      <c r="C28" s="32"/>
      <c r="D28" s="38" t="s">
        <v>113</v>
      </c>
      <c r="E28" s="40" t="s">
        <v>55</v>
      </c>
      <c r="F28" s="32">
        <v>2</v>
      </c>
      <c r="G28" s="39"/>
      <c r="H28" s="32" t="s">
        <v>56</v>
      </c>
      <c r="I28" s="36" t="s">
        <v>233</v>
      </c>
      <c r="J28" s="37" t="s">
        <v>125</v>
      </c>
      <c r="K28" s="32"/>
    </row>
    <row r="29" spans="1:11" ht="14.4">
      <c r="A29" s="32"/>
      <c r="B29" s="32" t="s">
        <v>114</v>
      </c>
      <c r="C29" s="32"/>
      <c r="D29" s="38" t="s">
        <v>115</v>
      </c>
      <c r="E29" s="32" t="s">
        <v>55</v>
      </c>
      <c r="F29" s="32">
        <v>3</v>
      </c>
      <c r="G29" s="39"/>
      <c r="H29" s="32" t="s">
        <v>56</v>
      </c>
      <c r="I29" s="36" t="s">
        <v>233</v>
      </c>
      <c r="J29" s="37" t="s">
        <v>125</v>
      </c>
      <c r="K29" s="32"/>
    </row>
    <row r="30" spans="1:11" ht="14.4">
      <c r="A30" s="41"/>
      <c r="B30" s="41" t="s">
        <v>116</v>
      </c>
      <c r="C30" s="42"/>
      <c r="D30" s="43" t="s">
        <v>117</v>
      </c>
      <c r="E30" s="41" t="s">
        <v>55</v>
      </c>
      <c r="F30" s="32" t="s">
        <v>118</v>
      </c>
      <c r="G30" s="39"/>
      <c r="H30" s="32" t="s">
        <v>56</v>
      </c>
      <c r="I30" s="36" t="s">
        <v>233</v>
      </c>
      <c r="J30" s="37" t="s">
        <v>125</v>
      </c>
      <c r="K30" s="41"/>
    </row>
    <row r="31" spans="1:11">
      <c r="A31" s="41"/>
      <c r="B31" s="41" t="s">
        <v>119</v>
      </c>
      <c r="C31" s="42"/>
      <c r="D31" s="43" t="s">
        <v>120</v>
      </c>
      <c r="E31" s="41" t="s">
        <v>55</v>
      </c>
      <c r="F31" s="44" t="s">
        <v>121</v>
      </c>
      <c r="G31" s="39"/>
      <c r="H31" s="39"/>
      <c r="I31" s="36" t="s">
        <v>233</v>
      </c>
      <c r="J31" s="45" t="s">
        <v>126</v>
      </c>
      <c r="K31" s="41"/>
    </row>
    <row r="32" spans="1:11">
      <c r="A32" s="41"/>
      <c r="B32" s="41" t="s">
        <v>122</v>
      </c>
      <c r="C32" s="42"/>
      <c r="D32" s="43" t="s">
        <v>123</v>
      </c>
      <c r="E32" s="41" t="s">
        <v>55</v>
      </c>
      <c r="F32" s="44" t="s">
        <v>124</v>
      </c>
      <c r="G32" s="39"/>
      <c r="H32" s="39" t="s">
        <v>56</v>
      </c>
      <c r="I32" s="36" t="s">
        <v>233</v>
      </c>
      <c r="J32" s="45" t="s">
        <v>100</v>
      </c>
      <c r="K32" s="41"/>
    </row>
    <row r="33" spans="1:11" s="11" customFormat="1" ht="14.4">
      <c r="A33" s="12" t="s">
        <v>234</v>
      </c>
      <c r="B33" s="12" t="s">
        <v>127</v>
      </c>
      <c r="C33" s="26" t="str">
        <f>DEC2HEX(HEX2DEC(C25)+4)</f>
        <v>28</v>
      </c>
      <c r="D33" s="13" t="s">
        <v>138</v>
      </c>
      <c r="E33" s="12" t="s">
        <v>54</v>
      </c>
      <c r="F33" s="24" t="s">
        <v>61</v>
      </c>
      <c r="G33" s="17" t="s">
        <v>236</v>
      </c>
      <c r="H33" s="17" t="s">
        <v>56</v>
      </c>
      <c r="I33" s="12" t="s">
        <v>234</v>
      </c>
      <c r="J33" s="25" t="s">
        <v>62</v>
      </c>
      <c r="K33" s="12"/>
    </row>
    <row r="34" spans="1:11">
      <c r="A34" s="41"/>
      <c r="B34" s="41" t="s">
        <v>128</v>
      </c>
      <c r="C34" s="42"/>
      <c r="D34" s="43" t="s">
        <v>130</v>
      </c>
      <c r="E34" s="41" t="s">
        <v>55</v>
      </c>
      <c r="F34" s="44" t="s">
        <v>129</v>
      </c>
      <c r="G34" s="39"/>
      <c r="H34" s="39" t="s">
        <v>56</v>
      </c>
      <c r="I34" s="36" t="s">
        <v>233</v>
      </c>
      <c r="J34" s="45" t="s">
        <v>125</v>
      </c>
      <c r="K34" s="41" t="s">
        <v>131</v>
      </c>
    </row>
    <row r="35" spans="1:11">
      <c r="A35" s="41"/>
      <c r="B35" s="41" t="s">
        <v>132</v>
      </c>
      <c r="C35" s="42"/>
      <c r="D35" s="43" t="s">
        <v>133</v>
      </c>
      <c r="E35" s="41" t="s">
        <v>55</v>
      </c>
      <c r="F35" s="44" t="s">
        <v>134</v>
      </c>
      <c r="G35" s="39"/>
      <c r="H35" s="39" t="s">
        <v>56</v>
      </c>
      <c r="I35" s="36" t="s">
        <v>233</v>
      </c>
      <c r="J35" s="45" t="s">
        <v>125</v>
      </c>
      <c r="K35" s="41" t="s">
        <v>131</v>
      </c>
    </row>
    <row r="36" spans="1:11">
      <c r="A36" s="41"/>
      <c r="B36" s="41" t="s">
        <v>135</v>
      </c>
      <c r="C36" s="42"/>
      <c r="D36" s="43" t="s">
        <v>136</v>
      </c>
      <c r="E36" s="41" t="s">
        <v>55</v>
      </c>
      <c r="F36" s="44" t="s">
        <v>137</v>
      </c>
      <c r="G36" s="39"/>
      <c r="H36" s="39" t="s">
        <v>56</v>
      </c>
      <c r="I36" s="36" t="s">
        <v>233</v>
      </c>
      <c r="J36" s="45" t="s">
        <v>125</v>
      </c>
      <c r="K36" s="41" t="s">
        <v>131</v>
      </c>
    </row>
    <row r="37" spans="1:11" s="11" customFormat="1" ht="14.4">
      <c r="A37" s="12" t="s">
        <v>234</v>
      </c>
      <c r="B37" s="12" t="s">
        <v>163</v>
      </c>
      <c r="C37" s="26" t="str">
        <f>DEC2HEX(HEX2DEC(C33)+4)</f>
        <v>2C</v>
      </c>
      <c r="D37" s="13" t="s">
        <v>139</v>
      </c>
      <c r="E37" s="12" t="s">
        <v>54</v>
      </c>
      <c r="F37" s="24" t="s">
        <v>61</v>
      </c>
      <c r="G37" s="17" t="s">
        <v>236</v>
      </c>
      <c r="H37" s="17" t="s">
        <v>56</v>
      </c>
      <c r="I37" s="12" t="s">
        <v>234</v>
      </c>
      <c r="J37" s="25" t="s">
        <v>62</v>
      </c>
      <c r="K37" s="12"/>
    </row>
    <row r="38" spans="1:11">
      <c r="A38" s="41"/>
      <c r="B38" s="41" t="s">
        <v>140</v>
      </c>
      <c r="C38" s="42"/>
      <c r="D38" s="43" t="s">
        <v>141</v>
      </c>
      <c r="E38" s="41" t="s">
        <v>55</v>
      </c>
      <c r="F38" s="44" t="s">
        <v>52</v>
      </c>
      <c r="G38" s="39"/>
      <c r="H38" s="39" t="s">
        <v>56</v>
      </c>
      <c r="I38" s="36" t="s">
        <v>233</v>
      </c>
      <c r="J38" s="45" t="s">
        <v>125</v>
      </c>
      <c r="K38" s="41" t="s">
        <v>131</v>
      </c>
    </row>
    <row r="39" spans="1:11">
      <c r="A39" s="41"/>
      <c r="B39" s="41" t="s">
        <v>142</v>
      </c>
      <c r="C39" s="42"/>
      <c r="D39" s="43" t="s">
        <v>143</v>
      </c>
      <c r="E39" s="41" t="s">
        <v>55</v>
      </c>
      <c r="F39" s="44" t="s">
        <v>144</v>
      </c>
      <c r="G39" s="39"/>
      <c r="H39" s="39" t="s">
        <v>56</v>
      </c>
      <c r="I39" s="36" t="s">
        <v>233</v>
      </c>
      <c r="J39" s="45" t="s">
        <v>125</v>
      </c>
      <c r="K39" s="41" t="s">
        <v>131</v>
      </c>
    </row>
    <row r="40" spans="1:11">
      <c r="A40" s="41"/>
      <c r="B40" s="41" t="s">
        <v>145</v>
      </c>
      <c r="C40" s="42"/>
      <c r="D40" s="43" t="s">
        <v>146</v>
      </c>
      <c r="E40" s="41" t="s">
        <v>55</v>
      </c>
      <c r="F40" s="44" t="s">
        <v>147</v>
      </c>
      <c r="G40" s="39"/>
      <c r="H40" s="39" t="s">
        <v>56</v>
      </c>
      <c r="I40" s="36" t="s">
        <v>233</v>
      </c>
      <c r="J40" s="45" t="s">
        <v>125</v>
      </c>
      <c r="K40" s="41" t="s">
        <v>131</v>
      </c>
    </row>
    <row r="41" spans="1:11">
      <c r="A41" s="41"/>
      <c r="B41" s="41" t="s">
        <v>148</v>
      </c>
      <c r="C41" s="42"/>
      <c r="D41" s="43" t="s">
        <v>149</v>
      </c>
      <c r="E41" s="41" t="s">
        <v>55</v>
      </c>
      <c r="F41" s="44" t="s">
        <v>150</v>
      </c>
      <c r="G41" s="39"/>
      <c r="H41" s="39" t="s">
        <v>56</v>
      </c>
      <c r="I41" s="36" t="s">
        <v>233</v>
      </c>
      <c r="J41" s="45" t="s">
        <v>125</v>
      </c>
      <c r="K41" s="41" t="s">
        <v>131</v>
      </c>
    </row>
    <row r="42" spans="1:11">
      <c r="A42" s="41"/>
      <c r="B42" s="41" t="s">
        <v>151</v>
      </c>
      <c r="C42" s="42"/>
      <c r="D42" s="43" t="s">
        <v>152</v>
      </c>
      <c r="E42" s="41" t="s">
        <v>55</v>
      </c>
      <c r="F42" s="44" t="s">
        <v>153</v>
      </c>
      <c r="G42" s="39"/>
      <c r="H42" s="39" t="s">
        <v>56</v>
      </c>
      <c r="I42" s="36" t="s">
        <v>233</v>
      </c>
      <c r="J42" s="45" t="s">
        <v>125</v>
      </c>
      <c r="K42" s="41" t="s">
        <v>131</v>
      </c>
    </row>
    <row r="43" spans="1:11">
      <c r="A43" s="41"/>
      <c r="B43" s="41" t="s">
        <v>154</v>
      </c>
      <c r="C43" s="42"/>
      <c r="D43" s="43" t="s">
        <v>155</v>
      </c>
      <c r="E43" s="41" t="s">
        <v>55</v>
      </c>
      <c r="F43" s="44" t="s">
        <v>156</v>
      </c>
      <c r="G43" s="39"/>
      <c r="H43" s="39" t="s">
        <v>56</v>
      </c>
      <c r="I43" s="36" t="s">
        <v>233</v>
      </c>
      <c r="J43" s="45" t="s">
        <v>125</v>
      </c>
      <c r="K43" s="41" t="s">
        <v>131</v>
      </c>
    </row>
    <row r="44" spans="1:11">
      <c r="A44" s="41"/>
      <c r="B44" s="41" t="s">
        <v>157</v>
      </c>
      <c r="C44" s="42"/>
      <c r="D44" s="43" t="s">
        <v>158</v>
      </c>
      <c r="E44" s="41" t="s">
        <v>55</v>
      </c>
      <c r="F44" s="44" t="s">
        <v>129</v>
      </c>
      <c r="G44" s="39"/>
      <c r="H44" s="39" t="s">
        <v>56</v>
      </c>
      <c r="I44" s="36" t="s">
        <v>233</v>
      </c>
      <c r="J44" s="45" t="s">
        <v>125</v>
      </c>
      <c r="K44" s="41" t="s">
        <v>131</v>
      </c>
    </row>
    <row r="45" spans="1:11">
      <c r="A45" s="41"/>
      <c r="B45" s="41" t="s">
        <v>159</v>
      </c>
      <c r="C45" s="42"/>
      <c r="D45" s="43" t="s">
        <v>160</v>
      </c>
      <c r="E45" s="41" t="s">
        <v>55</v>
      </c>
      <c r="F45" s="44" t="s">
        <v>161</v>
      </c>
      <c r="G45" s="39"/>
      <c r="H45" s="39" t="s">
        <v>56</v>
      </c>
      <c r="I45" s="36" t="s">
        <v>233</v>
      </c>
      <c r="J45" s="45" t="s">
        <v>125</v>
      </c>
      <c r="K45" s="41" t="s">
        <v>131</v>
      </c>
    </row>
    <row r="46" spans="1:11" s="11" customFormat="1" ht="14.4">
      <c r="A46" s="12" t="s">
        <v>234</v>
      </c>
      <c r="B46" s="12" t="s">
        <v>164</v>
      </c>
      <c r="C46" s="26" t="str">
        <f>DEC2HEX(HEX2DEC(C37)+4)</f>
        <v>30</v>
      </c>
      <c r="D46" s="13" t="s">
        <v>162</v>
      </c>
      <c r="E46" s="12" t="s">
        <v>54</v>
      </c>
      <c r="F46" s="24" t="s">
        <v>61</v>
      </c>
      <c r="G46" s="17" t="s">
        <v>236</v>
      </c>
      <c r="H46" s="17" t="s">
        <v>56</v>
      </c>
      <c r="I46" s="12" t="s">
        <v>234</v>
      </c>
      <c r="J46" s="25" t="s">
        <v>62</v>
      </c>
      <c r="K46" s="12"/>
    </row>
    <row r="47" spans="1:11" ht="14.4">
      <c r="A47" s="12" t="s">
        <v>234</v>
      </c>
      <c r="B47" s="12" t="s">
        <v>165</v>
      </c>
      <c r="C47" s="26" t="str">
        <f>DEC2HEX(HEX2DEC(C46)+4)</f>
        <v>34</v>
      </c>
      <c r="D47" s="13" t="s">
        <v>166</v>
      </c>
      <c r="E47" s="12" t="s">
        <v>54</v>
      </c>
      <c r="F47" s="24" t="s">
        <v>61</v>
      </c>
      <c r="G47" s="17" t="s">
        <v>236</v>
      </c>
      <c r="H47" s="17" t="s">
        <v>56</v>
      </c>
      <c r="I47" s="12" t="s">
        <v>234</v>
      </c>
      <c r="J47" s="25" t="s">
        <v>62</v>
      </c>
      <c r="K47" s="12"/>
    </row>
    <row r="48" spans="1:11" ht="14.4">
      <c r="A48" s="12" t="s">
        <v>234</v>
      </c>
      <c r="B48" s="12" t="s">
        <v>167</v>
      </c>
      <c r="C48" s="26" t="str">
        <f>DEC2HEX(HEX2DEC(C47)+4)</f>
        <v>38</v>
      </c>
      <c r="D48" s="13" t="s">
        <v>168</v>
      </c>
      <c r="E48" s="12" t="s">
        <v>54</v>
      </c>
      <c r="F48" s="24" t="s">
        <v>61</v>
      </c>
      <c r="G48" s="17" t="s">
        <v>236</v>
      </c>
      <c r="H48" s="17" t="s">
        <v>56</v>
      </c>
      <c r="I48" s="12" t="s">
        <v>234</v>
      </c>
      <c r="J48" s="25" t="s">
        <v>62</v>
      </c>
      <c r="K48" s="12"/>
    </row>
    <row r="49" spans="1:11" ht="14.4">
      <c r="A49" s="12" t="s">
        <v>234</v>
      </c>
      <c r="B49" s="12" t="s">
        <v>169</v>
      </c>
      <c r="C49" s="26" t="str">
        <f>DEC2HEX(HEX2DEC(C48)+4)</f>
        <v>3C</v>
      </c>
      <c r="D49" s="13" t="s">
        <v>170</v>
      </c>
      <c r="E49" s="12" t="s">
        <v>54</v>
      </c>
      <c r="F49" s="24" t="s">
        <v>61</v>
      </c>
      <c r="G49" s="17" t="s">
        <v>236</v>
      </c>
      <c r="H49" s="17" t="s">
        <v>56</v>
      </c>
      <c r="I49" s="12" t="s">
        <v>234</v>
      </c>
      <c r="J49" s="25" t="s">
        <v>62</v>
      </c>
      <c r="K49" s="12"/>
    </row>
    <row r="50" spans="1:11" ht="14.4">
      <c r="A50" s="12" t="s">
        <v>234</v>
      </c>
      <c r="B50" s="12" t="s">
        <v>171</v>
      </c>
      <c r="C50" s="26" t="str">
        <f>DEC2HEX(HEX2DEC(C49)+4)</f>
        <v>40</v>
      </c>
      <c r="D50" s="13" t="s">
        <v>172</v>
      </c>
      <c r="E50" s="12" t="s">
        <v>54</v>
      </c>
      <c r="F50" s="24" t="s">
        <v>61</v>
      </c>
      <c r="G50" s="17" t="s">
        <v>236</v>
      </c>
      <c r="H50" s="17" t="s">
        <v>56</v>
      </c>
      <c r="I50" s="12" t="s">
        <v>234</v>
      </c>
      <c r="J50" s="25" t="s">
        <v>62</v>
      </c>
      <c r="K50" s="12"/>
    </row>
    <row r="51" spans="1:11">
      <c r="A51" s="41"/>
      <c r="B51" s="41" t="s">
        <v>175</v>
      </c>
      <c r="C51" s="42"/>
      <c r="D51" s="43" t="s">
        <v>173</v>
      </c>
      <c r="E51" s="41" t="s">
        <v>55</v>
      </c>
      <c r="F51" s="44" t="s">
        <v>174</v>
      </c>
      <c r="G51" s="39"/>
      <c r="H51" s="39" t="s">
        <v>56</v>
      </c>
      <c r="I51" s="36" t="s">
        <v>233</v>
      </c>
      <c r="J51" s="45" t="s">
        <v>221</v>
      </c>
      <c r="K51" s="41" t="s">
        <v>131</v>
      </c>
    </row>
    <row r="52" spans="1:11">
      <c r="A52" s="41"/>
      <c r="B52" s="41" t="s">
        <v>176</v>
      </c>
      <c r="C52" s="42"/>
      <c r="D52" s="43" t="s">
        <v>177</v>
      </c>
      <c r="E52" s="41" t="s">
        <v>55</v>
      </c>
      <c r="F52" s="44" t="s">
        <v>178</v>
      </c>
      <c r="G52" s="39"/>
      <c r="H52" s="39" t="s">
        <v>56</v>
      </c>
      <c r="I52" s="36" t="s">
        <v>233</v>
      </c>
      <c r="J52" s="45" t="s">
        <v>125</v>
      </c>
      <c r="K52" s="41" t="s">
        <v>131</v>
      </c>
    </row>
    <row r="53" spans="1:11" ht="14.4">
      <c r="A53" s="12" t="s">
        <v>234</v>
      </c>
      <c r="B53" s="12" t="s">
        <v>179</v>
      </c>
      <c r="C53" s="26" t="str">
        <f>DEC2HEX(HEX2DEC(C50)+4)</f>
        <v>44</v>
      </c>
      <c r="D53" s="13" t="s">
        <v>180</v>
      </c>
      <c r="E53" s="12" t="s">
        <v>54</v>
      </c>
      <c r="F53" s="24" t="s">
        <v>61</v>
      </c>
      <c r="G53" s="17" t="s">
        <v>236</v>
      </c>
      <c r="H53" s="17" t="s">
        <v>56</v>
      </c>
      <c r="I53" s="12" t="s">
        <v>234</v>
      </c>
      <c r="J53" s="25" t="s">
        <v>62</v>
      </c>
      <c r="K53" s="12"/>
    </row>
    <row r="54" spans="1:11">
      <c r="A54" s="41"/>
      <c r="B54" s="41" t="s">
        <v>181</v>
      </c>
      <c r="C54" s="42"/>
      <c r="D54" s="43" t="s">
        <v>182</v>
      </c>
      <c r="E54" s="41" t="s">
        <v>55</v>
      </c>
      <c r="F54" s="44" t="s">
        <v>183</v>
      </c>
      <c r="G54" s="39"/>
      <c r="H54" s="39" t="s">
        <v>56</v>
      </c>
      <c r="I54" s="36" t="s">
        <v>233</v>
      </c>
      <c r="J54" s="45" t="s">
        <v>125</v>
      </c>
      <c r="K54" s="41" t="s">
        <v>131</v>
      </c>
    </row>
    <row r="55" spans="1:11">
      <c r="A55" s="41"/>
      <c r="B55" s="41" t="s">
        <v>184</v>
      </c>
      <c r="C55" s="42"/>
      <c r="D55" s="43" t="s">
        <v>185</v>
      </c>
      <c r="E55" s="41" t="s">
        <v>55</v>
      </c>
      <c r="F55" s="44" t="s">
        <v>186</v>
      </c>
      <c r="G55" s="39"/>
      <c r="H55" s="39" t="s">
        <v>56</v>
      </c>
      <c r="I55" s="36" t="s">
        <v>233</v>
      </c>
      <c r="J55" s="45" t="s">
        <v>125</v>
      </c>
      <c r="K55" s="41" t="s">
        <v>131</v>
      </c>
    </row>
    <row r="56" spans="1:11">
      <c r="A56" s="41"/>
      <c r="B56" s="41" t="s">
        <v>187</v>
      </c>
      <c r="C56" s="42"/>
      <c r="D56" s="43" t="s">
        <v>188</v>
      </c>
      <c r="E56" s="41" t="s">
        <v>55</v>
      </c>
      <c r="F56" s="44" t="s">
        <v>161</v>
      </c>
      <c r="G56" s="39"/>
      <c r="H56" s="39" t="s">
        <v>56</v>
      </c>
      <c r="I56" s="36" t="s">
        <v>233</v>
      </c>
      <c r="J56" s="45" t="s">
        <v>125</v>
      </c>
      <c r="K56" s="41" t="s">
        <v>131</v>
      </c>
    </row>
    <row r="57" spans="1:11">
      <c r="A57" s="41"/>
      <c r="B57" s="41" t="s">
        <v>189</v>
      </c>
      <c r="C57" s="42"/>
      <c r="D57" s="43" t="s">
        <v>190</v>
      </c>
      <c r="E57" s="41" t="s">
        <v>55</v>
      </c>
      <c r="F57" s="44" t="s">
        <v>191</v>
      </c>
      <c r="G57" s="39"/>
      <c r="H57" s="39" t="s">
        <v>56</v>
      </c>
      <c r="I57" s="36" t="s">
        <v>233</v>
      </c>
      <c r="J57" s="45" t="s">
        <v>125</v>
      </c>
      <c r="K57" s="41" t="s">
        <v>131</v>
      </c>
    </row>
    <row r="58" spans="1:11">
      <c r="A58" s="41"/>
      <c r="B58" s="41" t="s">
        <v>192</v>
      </c>
      <c r="C58" s="42"/>
      <c r="D58" s="43" t="s">
        <v>193</v>
      </c>
      <c r="E58" s="41" t="s">
        <v>55</v>
      </c>
      <c r="F58" s="44" t="s">
        <v>194</v>
      </c>
      <c r="G58" s="39"/>
      <c r="H58" s="39" t="s">
        <v>56</v>
      </c>
      <c r="I58" s="36" t="s">
        <v>233</v>
      </c>
      <c r="J58" s="45" t="s">
        <v>125</v>
      </c>
      <c r="K58" s="41" t="s">
        <v>131</v>
      </c>
    </row>
    <row r="59" spans="1:11">
      <c r="A59" s="41"/>
      <c r="B59" s="41" t="s">
        <v>157</v>
      </c>
      <c r="C59" s="42"/>
      <c r="D59" s="43" t="s">
        <v>195</v>
      </c>
      <c r="E59" s="41" t="s">
        <v>55</v>
      </c>
      <c r="F59" s="44" t="s">
        <v>178</v>
      </c>
      <c r="G59" s="39"/>
      <c r="H59" s="39" t="s">
        <v>56</v>
      </c>
      <c r="I59" s="36" t="s">
        <v>233</v>
      </c>
      <c r="J59" s="45" t="s">
        <v>125</v>
      </c>
      <c r="K59" s="41" t="s">
        <v>131</v>
      </c>
    </row>
    <row r="60" spans="1:11" ht="14.4">
      <c r="A60" s="12" t="s">
        <v>234</v>
      </c>
      <c r="B60" s="12" t="s">
        <v>196</v>
      </c>
      <c r="C60" s="26" t="str">
        <f>DEC2HEX(HEX2DEC(C53)+4)</f>
        <v>48</v>
      </c>
      <c r="D60" s="13" t="s">
        <v>197</v>
      </c>
      <c r="E60" s="12" t="s">
        <v>54</v>
      </c>
      <c r="F60" s="24" t="s">
        <v>61</v>
      </c>
      <c r="G60" s="17" t="s">
        <v>236</v>
      </c>
      <c r="H60" s="17" t="s">
        <v>56</v>
      </c>
      <c r="I60" s="12" t="s">
        <v>234</v>
      </c>
      <c r="J60" s="25" t="s">
        <v>62</v>
      </c>
      <c r="K60" s="12"/>
    </row>
    <row r="61" spans="1:11">
      <c r="A61" s="41"/>
      <c r="B61" s="41" t="s">
        <v>198</v>
      </c>
      <c r="C61" s="42"/>
      <c r="D61" s="43" t="s">
        <v>199</v>
      </c>
      <c r="E61" s="41" t="s">
        <v>55</v>
      </c>
      <c r="F61" s="44" t="s">
        <v>52</v>
      </c>
      <c r="G61" s="39"/>
      <c r="H61" s="39" t="s">
        <v>56</v>
      </c>
      <c r="I61" s="36" t="s">
        <v>233</v>
      </c>
      <c r="J61" s="45" t="s">
        <v>125</v>
      </c>
      <c r="K61" s="41" t="s">
        <v>131</v>
      </c>
    </row>
    <row r="62" spans="1:11">
      <c r="A62" s="41"/>
      <c r="B62" s="41" t="s">
        <v>200</v>
      </c>
      <c r="C62" s="42"/>
      <c r="D62" s="43" t="s">
        <v>201</v>
      </c>
      <c r="E62" s="41" t="s">
        <v>55</v>
      </c>
      <c r="F62" s="44" t="s">
        <v>202</v>
      </c>
      <c r="G62" s="39"/>
      <c r="H62" s="39" t="s">
        <v>56</v>
      </c>
      <c r="I62" s="36" t="s">
        <v>233</v>
      </c>
      <c r="J62" s="45" t="s">
        <v>125</v>
      </c>
      <c r="K62" s="41" t="s">
        <v>131</v>
      </c>
    </row>
    <row r="63" spans="1:11">
      <c r="A63" s="41"/>
      <c r="B63" s="41" t="s">
        <v>203</v>
      </c>
      <c r="C63" s="42"/>
      <c r="D63" s="43" t="s">
        <v>204</v>
      </c>
      <c r="E63" s="41" t="s">
        <v>55</v>
      </c>
      <c r="F63" s="44" t="s">
        <v>183</v>
      </c>
      <c r="G63" s="39"/>
      <c r="H63" s="39" t="s">
        <v>56</v>
      </c>
      <c r="I63" s="36" t="s">
        <v>233</v>
      </c>
      <c r="J63" s="45" t="s">
        <v>125</v>
      </c>
      <c r="K63" s="41" t="s">
        <v>131</v>
      </c>
    </row>
    <row r="64" spans="1:11">
      <c r="A64" s="41"/>
      <c r="B64" s="41" t="s">
        <v>205</v>
      </c>
      <c r="C64" s="42"/>
      <c r="D64" s="43" t="s">
        <v>206</v>
      </c>
      <c r="E64" s="41" t="s">
        <v>55</v>
      </c>
      <c r="F64" s="44" t="s">
        <v>153</v>
      </c>
      <c r="G64" s="39"/>
      <c r="H64" s="39" t="s">
        <v>56</v>
      </c>
      <c r="I64" s="36" t="s">
        <v>233</v>
      </c>
      <c r="J64" s="45" t="s">
        <v>125</v>
      </c>
      <c r="K64" s="41" t="s">
        <v>131</v>
      </c>
    </row>
    <row r="65" spans="1:11">
      <c r="A65" s="41"/>
      <c r="B65" s="41" t="s">
        <v>207</v>
      </c>
      <c r="C65" s="42"/>
      <c r="D65" s="43" t="s">
        <v>208</v>
      </c>
      <c r="E65" s="41" t="s">
        <v>55</v>
      </c>
      <c r="F65" s="44" t="s">
        <v>209</v>
      </c>
      <c r="G65" s="39"/>
      <c r="H65" s="39" t="s">
        <v>56</v>
      </c>
      <c r="I65" s="36" t="s">
        <v>233</v>
      </c>
      <c r="J65" s="45" t="s">
        <v>222</v>
      </c>
      <c r="K65" s="41" t="s">
        <v>131</v>
      </c>
    </row>
    <row r="66" spans="1:11">
      <c r="A66" s="41"/>
      <c r="B66" s="41" t="s">
        <v>210</v>
      </c>
      <c r="C66" s="42"/>
      <c r="D66" s="43" t="s">
        <v>211</v>
      </c>
      <c r="E66" s="41" t="s">
        <v>55</v>
      </c>
      <c r="F66" s="44" t="s">
        <v>212</v>
      </c>
      <c r="G66" s="39"/>
      <c r="H66" s="39" t="s">
        <v>56</v>
      </c>
      <c r="I66" s="36" t="s">
        <v>233</v>
      </c>
      <c r="J66" s="45" t="s">
        <v>223</v>
      </c>
      <c r="K66" s="41" t="s">
        <v>131</v>
      </c>
    </row>
    <row r="67" spans="1:11">
      <c r="A67" s="41"/>
      <c r="B67" s="41" t="s">
        <v>214</v>
      </c>
      <c r="C67" s="42"/>
      <c r="D67" s="43" t="s">
        <v>215</v>
      </c>
      <c r="E67" s="41" t="s">
        <v>55</v>
      </c>
      <c r="F67" s="44" t="s">
        <v>216</v>
      </c>
      <c r="G67" s="39"/>
      <c r="H67" s="39" t="s">
        <v>56</v>
      </c>
      <c r="I67" s="36" t="s">
        <v>233</v>
      </c>
      <c r="J67" s="45" t="s">
        <v>125</v>
      </c>
      <c r="K67" s="41" t="s">
        <v>131</v>
      </c>
    </row>
    <row r="68" spans="1:11">
      <c r="A68" s="41"/>
      <c r="B68" s="41" t="s">
        <v>217</v>
      </c>
      <c r="C68" s="42"/>
      <c r="D68" s="43" t="s">
        <v>218</v>
      </c>
      <c r="E68" s="41" t="s">
        <v>55</v>
      </c>
      <c r="F68" s="44" t="s">
        <v>178</v>
      </c>
      <c r="G68" s="39"/>
      <c r="H68" s="39" t="s">
        <v>56</v>
      </c>
      <c r="I68" s="36" t="s">
        <v>233</v>
      </c>
      <c r="J68" s="45" t="s">
        <v>125</v>
      </c>
      <c r="K68" s="41" t="s">
        <v>131</v>
      </c>
    </row>
    <row r="69" spans="1:11" ht="14.4">
      <c r="A69" s="12" t="s">
        <v>234</v>
      </c>
      <c r="B69" s="12" t="s">
        <v>213</v>
      </c>
      <c r="C69" s="26" t="str">
        <f>DEC2HEX(HEX2DEC(C60)+4)</f>
        <v>4C</v>
      </c>
      <c r="D69" s="13" t="s">
        <v>226</v>
      </c>
      <c r="E69" s="12" t="s">
        <v>54</v>
      </c>
      <c r="F69" s="24" t="s">
        <v>61</v>
      </c>
      <c r="G69" s="17" t="s">
        <v>236</v>
      </c>
      <c r="H69" s="17" t="s">
        <v>56</v>
      </c>
      <c r="I69" s="12" t="s">
        <v>234</v>
      </c>
      <c r="J69" s="25" t="s">
        <v>62</v>
      </c>
      <c r="K69" s="12"/>
    </row>
    <row r="70" spans="1:11">
      <c r="A70" s="41"/>
      <c r="B70" s="41" t="s">
        <v>219</v>
      </c>
      <c r="C70" s="42"/>
      <c r="D70" s="43" t="s">
        <v>220</v>
      </c>
      <c r="E70" s="41" t="s">
        <v>55</v>
      </c>
      <c r="F70" s="44" t="s">
        <v>174</v>
      </c>
      <c r="G70" s="39"/>
      <c r="H70" s="39" t="s">
        <v>56</v>
      </c>
      <c r="I70" s="36" t="s">
        <v>233</v>
      </c>
      <c r="J70" s="45" t="s">
        <v>221</v>
      </c>
      <c r="K70" s="41" t="s">
        <v>131</v>
      </c>
    </row>
    <row r="71" spans="1:11" ht="14.4">
      <c r="A71" s="12" t="s">
        <v>234</v>
      </c>
      <c r="B71" s="12" t="s">
        <v>224</v>
      </c>
      <c r="C71" s="26" t="str">
        <f>DEC2HEX(HEX2DEC(C69)+4)</f>
        <v>50</v>
      </c>
      <c r="D71" s="13" t="s">
        <v>228</v>
      </c>
      <c r="E71" s="12" t="s">
        <v>54</v>
      </c>
      <c r="F71" s="24" t="s">
        <v>61</v>
      </c>
      <c r="G71" s="17" t="s">
        <v>236</v>
      </c>
      <c r="H71" s="17" t="s">
        <v>56</v>
      </c>
      <c r="I71" s="12" t="s">
        <v>234</v>
      </c>
      <c r="J71" s="25" t="s">
        <v>62</v>
      </c>
      <c r="K71" s="12"/>
    </row>
    <row r="72" spans="1:11" ht="14.4">
      <c r="A72" s="12" t="s">
        <v>234</v>
      </c>
      <c r="B72" s="12" t="s">
        <v>225</v>
      </c>
      <c r="C72" s="26" t="str">
        <f>DEC2HEX(HEX2DEC(C71)+4)</f>
        <v>54</v>
      </c>
      <c r="D72" s="13" t="s">
        <v>227</v>
      </c>
      <c r="E72" s="12" t="s">
        <v>54</v>
      </c>
      <c r="F72" s="24" t="s">
        <v>61</v>
      </c>
      <c r="G72" s="17" t="s">
        <v>236</v>
      </c>
      <c r="H72" s="17" t="s">
        <v>56</v>
      </c>
      <c r="I72" s="12" t="s">
        <v>234</v>
      </c>
      <c r="J72" s="25" t="s">
        <v>62</v>
      </c>
      <c r="K72" s="12"/>
    </row>
    <row r="73" spans="1:11" ht="14.4">
      <c r="A73" s="12" t="s">
        <v>234</v>
      </c>
      <c r="B73" s="12" t="s">
        <v>229</v>
      </c>
      <c r="C73" s="26" t="str">
        <f>DEC2HEX(HEX2DEC(C72)+4)</f>
        <v>58</v>
      </c>
      <c r="D73" s="13" t="s">
        <v>230</v>
      </c>
      <c r="E73" s="12" t="s">
        <v>54</v>
      </c>
      <c r="F73" s="24" t="s">
        <v>61</v>
      </c>
      <c r="G73" s="17" t="s">
        <v>236</v>
      </c>
      <c r="H73" s="17" t="s">
        <v>56</v>
      </c>
      <c r="I73" s="12" t="s">
        <v>234</v>
      </c>
      <c r="J73" s="25" t="s">
        <v>62</v>
      </c>
      <c r="K73" s="12"/>
    </row>
    <row r="74" spans="1:11" ht="14.4">
      <c r="A74" s="12" t="s">
        <v>234</v>
      </c>
      <c r="B74" s="12" t="s">
        <v>231</v>
      </c>
      <c r="C74" s="26" t="str">
        <f>DEC2HEX(HEX2DEC(C73)+4)</f>
        <v>5C</v>
      </c>
      <c r="D74" s="13" t="s">
        <v>232</v>
      </c>
      <c r="E74" s="12" t="s">
        <v>54</v>
      </c>
      <c r="F74" s="24" t="s">
        <v>61</v>
      </c>
      <c r="G74" s="17" t="s">
        <v>236</v>
      </c>
      <c r="H74" s="17" t="s">
        <v>56</v>
      </c>
      <c r="I74" s="12" t="s">
        <v>234</v>
      </c>
      <c r="J74" s="25" t="s">
        <v>62</v>
      </c>
      <c r="K74" s="12"/>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1592580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2015-07-24T08:28:01Z</dcterms:modified>
</cp:coreProperties>
</file>