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l="1"/>
  <c r="C6" i="2" l="1"/>
  <c r="C7" i="2"/>
  <c r="C14" i="2"/>
  <c r="C15" i="2" s="1"/>
  <c r="C18" i="2" s="1"/>
  <c r="C21" i="2" s="1"/>
  <c r="C24"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<sst xmlns="http://schemas.openxmlformats.org/spreadsheetml/2006/main" count="236" uniqueCount="127">
  <si>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</si>
  <si>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</si>
  <si>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</si>
  <si>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</si>
  <si>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</si>
  <si>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</si>
  <si>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</si>
  <si>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</si>
  <si>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</si>
  <si>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</si>
  <si>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</si>
  <si>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</si>
  <si>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</si>
  <si>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</si>
  <si>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</si>
  <si>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</si>
  <si>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</si>
  <si>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</si>
  <si>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</si>
  <si>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</si>
  <si>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</si>
  <si>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</si>
  <si>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</si>
  <si>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</si>
  <si>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</si>
  <si>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</si>
  <si>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</si>
  <si>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</si>
  <si>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</si>
  <si>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</si>
  <si>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</si>
  <si>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</si>
  <si>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</si>
  <si>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</si>
  <si>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</si>
  <si>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</si>
  <si>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</si>
  <si>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</si>
  <si>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</si>
  <si>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</si>
  <si>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</si>
  <si>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</si>
  <si>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</si>
  <si>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</si>
  <si>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</si>
  <si>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</si>
  <si>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</si>
  <si>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</si>
  <si>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</si>
  <si>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</si>
  <si>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</si>
  <si>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</si>
  <si>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</si>
  <si>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</si>
  <si>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</si>
  <si>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</si>
  <si>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</si>
  <si>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</si>
  <si>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</si>
  <si>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</si>
  <si>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</si>
  <si>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</si>
  <si>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</si>
  <si>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</si>
  <si>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</si>
  <si>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</si>
  <si>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</si>
  <si>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</si>
  <si>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</si>
  <si>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</si>
  <si>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</si>
  <si>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</si>
  <si>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</si>
  <si>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</si>
  <si>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</si>
  <si>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</si>
  <si>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</si>
  <si>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</si>
  <si>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</si>
  <si>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</si>
  <si>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</si>
  <si>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</si>
  <si>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</si>
  <si>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</si>
  <si>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</si>
  <si>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</si>
  <si>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</si>
  <si>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</si>
  <si>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OUTPUT_PORT_LOOKUP</t>
  </si>
  <si>
    <t>output_port_lookup</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</si>
  <si>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</si>
  <si>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</si>
  <si>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</si>
  <si>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</si>
  <si>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</si>
  <si>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</si>
  <si>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</si>
  <si>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32'h0001DA02</t>
  </si>
  <si>
    <t>Luthit</t>
  </si>
  <si>
    <t>Number of hits in the look up table</t>
  </si>
  <si>
    <t>LutHit</t>
  </si>
  <si>
    <t>LutHitOvf</t>
  </si>
  <si>
    <t>Lutmiss</t>
  </si>
  <si>
    <t>Number of missed in the look up table</t>
  </si>
  <si>
    <t>Number of misses in the look up table</t>
  </si>
  <si>
    <t>Endian Type</t>
  </si>
  <si>
    <t>Little</t>
  </si>
  <si>
    <t>NF_10G_INTERFACE</t>
  </si>
  <si>
    <t>Reset</t>
  </si>
  <si>
    <t>Reset elemens of the module</t>
  </si>
  <si>
    <t>15:0</t>
  </si>
  <si>
    <t>WOE</t>
  </si>
  <si>
    <t>16'h0</t>
  </si>
  <si>
    <t>ClearCounters</t>
  </si>
  <si>
    <t>Asserting this bit, will clear all counters</t>
  </si>
  <si>
    <t>nf_10g_interface</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</si>
  <si>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</si>
  <si>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</si>
  <si>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</si>
  <si>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</si>
  <si>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</si>
  <si>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</si>
  <si>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</si>
  <si>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</si>
  <si>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</si>
  <si>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</si>
  <si>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ResetTables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</si>
</sst>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9">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2</xdr:col>
          <xdr:colOff>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8"/>
  <sheetViews>
    <sheetView tabSelected="1" zoomScale="85" zoomScaleNormal="85" workbookViewId="0">
      <selection activeCell="C14" sqref="C14"/>
    </sheetView>
  </sheetViews>
  <sheetFormatPr defaultRowHeight="12.75"/>
  <cols>
    <col min="1" max="1" width="22.5703125" style="5" customWidth="1"/>
    <col min="2" max="2" width="18.85546875" style="5" customWidth="1"/>
    <col min="3" max="3" width="9.28515625" style="6" customWidth="1"/>
    <col min="4" max="4" width="50" style="7" customWidth="1"/>
    <col min="5" max="5" width="7.42578125" style="5" customWidth="1"/>
    <col min="6" max="6" width="9.7109375" style="8" customWidth="1"/>
    <col min="7" max="7" width="7.28515625" style="9" customWidth="1"/>
    <col min="8" max="8" width="8" style="10" customWidth="1"/>
    <col min="9" max="9" width="22.5703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5" t="s">
        <v>90</v>
      </c>
    </row>
    <row r="2" spans="1:12" ht="15">
      <c r="E2" s="5" t="s">
        <v>79</v>
      </c>
      <c r="F2" s="13" t="s">
        <v>80</v>
      </c>
      <c r="L2" s="15" t="s">
        <v>91</v>
      </c>
    </row>
    <row r="3" spans="1:12">
      <c r="L3" s="16" t="s">
        <v>92</v>
      </c>
    </row>
    <row r="4" spans="1:12" ht="25.5">
      <c r="A4" s="19" t="s">
        <v>42</v>
      </c>
      <c r="B4" s="19"/>
      <c r="C4" s="20" t="s">
        <v>43</v>
      </c>
      <c r="D4" s="21" t="s">
        <v>44</v>
      </c>
      <c r="E4" s="19" t="s">
        <v>45</v>
      </c>
      <c r="F4" s="22" t="s">
        <v>46</v>
      </c>
      <c r="G4" s="17" t="s">
        <v>105</v>
      </c>
      <c r="H4" s="17" t="s">
        <v>47</v>
      </c>
      <c r="I4" s="23" t="s">
        <v>58</v>
      </c>
      <c r="J4" s="23" t="s">
        <v>48</v>
      </c>
      <c r="K4" s="19" t="s">
        <v>49</v>
      </c>
      <c r="L4" s="16" t="s">
        <v>93</v>
      </c>
    </row>
    <row r="5" spans="1:12" s="11" customFormat="1" ht="30">
      <c r="A5" s="12" t="s">
        <v>88</v>
      </c>
      <c r="B5" s="12" t="s">
        <v>54</v>
      </c>
      <c r="C5" s="24" t="s">
        <v>50</v>
      </c>
      <c r="D5" s="13" t="s">
        <v>59</v>
      </c>
      <c r="E5" s="12" t="s">
        <v>51</v>
      </c>
      <c r="F5" s="25" t="s">
        <v>52</v>
      </c>
      <c r="G5" s="18" t="s">
        <v>106</v>
      </c>
      <c r="H5" s="18"/>
      <c r="I5" s="12" t="s">
        <v>88</v>
      </c>
      <c r="J5" s="26"/>
      <c r="K5" s="12"/>
      <c r="L5" s="16" t="s">
        <v>125</v>
      </c>
    </row>
    <row r="6" spans="1:12" ht="30">
      <c r="A6" s="12" t="s">
        <v>88</v>
      </c>
      <c r="B6" s="12" t="s">
        <v>60</v>
      </c>
      <c r="C6" s="27" t="str">
        <f>DEC2HEX(0)</f>
        <v>0</v>
      </c>
      <c r="D6" s="13" t="s">
        <v>61</v>
      </c>
      <c r="E6" s="28" t="s">
        <v>55</v>
      </c>
      <c r="F6" s="29" t="s">
        <v>62</v>
      </c>
      <c r="G6" s="18" t="s">
        <v>106</v>
      </c>
      <c r="H6" s="30" t="s">
        <v>57</v>
      </c>
      <c r="I6" s="12" t="s">
        <v>88</v>
      </c>
      <c r="J6" s="31" t="s">
        <v>97</v>
      </c>
      <c r="K6" s="28"/>
      <c r="L6" s="16" t="s">
        <v>94</v>
      </c>
    </row>
    <row r="7" spans="1:12" ht="15">
      <c r="A7" s="12" t="s">
        <v>88</v>
      </c>
      <c r="B7" s="12" t="s">
        <v>65</v>
      </c>
      <c r="C7" s="27" t="str">
        <f>DEC2HEX(HEX2DEC(C6)+4)</f>
        <v>4</v>
      </c>
      <c r="D7" s="13" t="s">
        <v>66</v>
      </c>
      <c r="E7" s="28" t="s">
        <v>55</v>
      </c>
      <c r="F7" s="29" t="s">
        <v>62</v>
      </c>
      <c r="G7" s="18" t="s">
        <v>106</v>
      </c>
      <c r="H7" s="30" t="s">
        <v>57</v>
      </c>
      <c r="I7" s="12" t="s">
        <v>88</v>
      </c>
      <c r="J7" s="31" t="s">
        <v>64</v>
      </c>
      <c r="K7" s="28"/>
      <c r="L7" s="16" t="s">
        <v>95</v>
      </c>
    </row>
    <row r="8" spans="1:12" ht="15">
      <c r="A8" s="12" t="s">
        <v>88</v>
      </c>
      <c r="B8" s="12" t="s">
        <v>108</v>
      </c>
      <c r="C8" s="27" t="str">
        <f t="shared" ref="C8" si="0">DEC2HEX(HEX2DEC(C7)+4)</f>
        <v>8</v>
      </c>
      <c r="D8" s="13" t="s">
        <v>109</v>
      </c>
      <c r="E8" s="28" t="s">
        <v>55</v>
      </c>
      <c r="F8" s="29" t="s">
        <v>110</v>
      </c>
      <c r="G8" s="18" t="s">
        <v>106</v>
      </c>
      <c r="H8" s="30" t="s">
        <v>111</v>
      </c>
      <c r="I8" s="12" t="s">
        <v>107</v>
      </c>
      <c r="J8" s="31" t="s">
        <v>112</v>
      </c>
      <c r="K8" s="28"/>
      <c r="L8" s="16" t="s">
        <v>96</v>
      </c>
    </row>
    <row r="9" spans="1:12" s="11" customFormat="1" ht="15">
      <c r="A9" s="32"/>
      <c r="B9" s="32" t="s">
        <v>113</v>
      </c>
      <c r="C9" s="33"/>
      <c r="D9" s="34" t="s">
        <v>114</v>
      </c>
      <c r="E9" s="32" t="s">
        <v>56</v>
      </c>
      <c r="F9" s="35" t="s">
        <v>52</v>
      </c>
      <c r="G9" s="32"/>
      <c r="H9" s="36" t="s">
        <v>111</v>
      </c>
      <c r="I9" s="37" t="s">
        <v>115</v>
      </c>
      <c r="J9" s="38" t="s">
        <v>116</v>
      </c>
      <c r="K9" s="32"/>
    </row>
    <row r="10" spans="1:12" s="11" customFormat="1" ht="30">
      <c r="A10" s="32"/>
      <c r="B10" s="32" t="s">
        <v>117</v>
      </c>
      <c r="C10" s="33"/>
      <c r="D10" s="34" t="s">
        <v>118</v>
      </c>
      <c r="E10" s="32" t="s">
        <v>56</v>
      </c>
      <c r="F10" s="35" t="s">
        <v>119</v>
      </c>
      <c r="G10" s="32"/>
      <c r="H10" s="36" t="s">
        <v>111</v>
      </c>
      <c r="I10" s="37" t="s">
        <v>115</v>
      </c>
      <c r="J10" s="38" t="s">
        <v>116</v>
      </c>
      <c r="K10" s="32"/>
    </row>
    <row r="11" spans="1:12" s="11" customFormat="1" ht="15">
      <c r="A11" s="32"/>
      <c r="B11" s="32" t="s">
        <v>126</v>
      </c>
      <c r="C11" s="33"/>
      <c r="D11" s="34" t="s">
        <v>121</v>
      </c>
      <c r="E11" s="32" t="s">
        <v>56</v>
      </c>
      <c r="F11" s="35" t="s">
        <v>122</v>
      </c>
      <c r="G11" s="32"/>
      <c r="H11" s="36" t="s">
        <v>111</v>
      </c>
      <c r="I11" s="37" t="s">
        <v>115</v>
      </c>
      <c r="J11" s="38" t="s">
        <v>116</v>
      </c>
      <c r="K11" s="32"/>
    </row>
    <row r="12" spans="1:12" s="11" customFormat="1" ht="15">
      <c r="A12" s="32"/>
      <c r="B12" s="32" t="s">
        <v>120</v>
      </c>
      <c r="C12" s="33"/>
      <c r="D12" s="34" t="s">
        <v>123</v>
      </c>
      <c r="E12" s="32" t="s">
        <v>56</v>
      </c>
      <c r="F12" s="35" t="s">
        <v>124</v>
      </c>
      <c r="G12" s="32"/>
      <c r="H12" s="36" t="s">
        <v>111</v>
      </c>
      <c r="I12" s="37" t="s">
        <v>115</v>
      </c>
      <c r="J12" s="38" t="s">
        <v>116</v>
      </c>
      <c r="K12" s="32"/>
    </row>
    <row r="13" spans="1:12" ht="30">
      <c r="A13" s="12" t="s">
        <v>88</v>
      </c>
      <c r="B13" s="12" t="s">
        <v>67</v>
      </c>
      <c r="C13" s="27" t="str">
        <f>DEC2HEX(HEX2DEC(C8)+4)</f>
        <v>C</v>
      </c>
      <c r="D13" s="13" t="s">
        <v>68</v>
      </c>
      <c r="E13" s="28" t="s">
        <v>55</v>
      </c>
      <c r="F13" s="29" t="s">
        <v>62</v>
      </c>
      <c r="G13" s="18" t="s">
        <v>106</v>
      </c>
      <c r="H13" s="30" t="s">
        <v>69</v>
      </c>
      <c r="I13" s="12" t="s">
        <v>88</v>
      </c>
      <c r="J13" s="31" t="s">
        <v>63</v>
      </c>
      <c r="K13" s="28" t="s">
        <v>70</v>
      </c>
      <c r="L13" s="16"/>
    </row>
    <row r="14" spans="1:12" ht="45">
      <c r="A14" s="12" t="s">
        <v>88</v>
      </c>
      <c r="B14" s="12" t="s">
        <v>78</v>
      </c>
      <c r="C14" s="27" t="str">
        <f t="shared" ref="C14:C15" si="1">DEC2HEX(HEX2DEC(C13)+4)</f>
        <v>10</v>
      </c>
      <c r="D14" s="13" t="s">
        <v>87</v>
      </c>
      <c r="E14" s="28" t="s">
        <v>55</v>
      </c>
      <c r="F14" s="29" t="s">
        <v>62</v>
      </c>
      <c r="G14" s="18" t="s">
        <v>106</v>
      </c>
      <c r="H14" s="30" t="s">
        <v>69</v>
      </c>
      <c r="I14" s="12" t="s">
        <v>88</v>
      </c>
      <c r="J14" s="31" t="s">
        <v>63</v>
      </c>
      <c r="K14" s="28"/>
    </row>
    <row r="15" spans="1:12" s="11" customFormat="1" ht="15">
      <c r="A15" s="12" t="s">
        <v>88</v>
      </c>
      <c r="B15" s="12" t="s">
        <v>81</v>
      </c>
      <c r="C15" s="27" t="str">
        <f t="shared" si="1"/>
        <v>14</v>
      </c>
      <c r="D15" s="13" t="s">
        <v>75</v>
      </c>
      <c r="E15" s="12" t="s">
        <v>55</v>
      </c>
      <c r="F15" s="25" t="s">
        <v>62</v>
      </c>
      <c r="G15" s="18" t="s">
        <v>106</v>
      </c>
      <c r="H15" s="18" t="s">
        <v>71</v>
      </c>
      <c r="I15" s="12" t="s">
        <v>88</v>
      </c>
      <c r="J15" s="26" t="s">
        <v>63</v>
      </c>
      <c r="K15" s="12"/>
    </row>
    <row r="16" spans="1:12" s="11" customFormat="1" ht="15">
      <c r="A16" s="32"/>
      <c r="B16" s="32" t="s">
        <v>81</v>
      </c>
      <c r="C16" s="33"/>
      <c r="D16" s="34" t="s">
        <v>76</v>
      </c>
      <c r="E16" s="32" t="s">
        <v>56</v>
      </c>
      <c r="F16" s="35" t="s">
        <v>73</v>
      </c>
      <c r="G16" s="32"/>
      <c r="H16" s="36" t="s">
        <v>71</v>
      </c>
      <c r="I16" s="37" t="s">
        <v>89</v>
      </c>
      <c r="J16" s="38" t="s">
        <v>72</v>
      </c>
      <c r="K16" s="32"/>
    </row>
    <row r="17" spans="1:11" s="11" customFormat="1" ht="15">
      <c r="A17" s="32"/>
      <c r="B17" s="32" t="s">
        <v>82</v>
      </c>
      <c r="C17" s="33"/>
      <c r="D17" s="34" t="s">
        <v>74</v>
      </c>
      <c r="E17" s="32" t="s">
        <v>56</v>
      </c>
      <c r="F17" s="32">
        <v>31</v>
      </c>
      <c r="G17" s="32"/>
      <c r="H17" s="36" t="s">
        <v>71</v>
      </c>
      <c r="I17" s="37" t="s">
        <v>89</v>
      </c>
      <c r="J17" s="38" t="s">
        <v>53</v>
      </c>
      <c r="K17" s="32"/>
    </row>
    <row r="18" spans="1:11" s="11" customFormat="1" ht="15">
      <c r="A18" s="12" t="s">
        <v>88</v>
      </c>
      <c r="B18" s="12" t="s">
        <v>83</v>
      </c>
      <c r="C18" s="27" t="str">
        <f>DEC2HEX(HEX2DEC(C15)+4)</f>
        <v>18</v>
      </c>
      <c r="D18" s="13" t="s">
        <v>86</v>
      </c>
      <c r="E18" s="12" t="s">
        <v>55</v>
      </c>
      <c r="F18" s="25" t="s">
        <v>62</v>
      </c>
      <c r="G18" s="18" t="s">
        <v>106</v>
      </c>
      <c r="H18" s="18" t="s">
        <v>71</v>
      </c>
      <c r="I18" s="12" t="s">
        <v>88</v>
      </c>
      <c r="J18" s="26" t="s">
        <v>63</v>
      </c>
      <c r="K18" s="12"/>
    </row>
    <row r="19" spans="1:11" s="11" customFormat="1" ht="15">
      <c r="A19" s="32"/>
      <c r="B19" s="32" t="s">
        <v>84</v>
      </c>
      <c r="C19" s="33"/>
      <c r="D19" s="34" t="s">
        <v>77</v>
      </c>
      <c r="E19" s="32" t="s">
        <v>56</v>
      </c>
      <c r="F19" s="35" t="s">
        <v>73</v>
      </c>
      <c r="G19" s="32"/>
      <c r="H19" s="36" t="s">
        <v>71</v>
      </c>
      <c r="I19" s="37" t="s">
        <v>89</v>
      </c>
      <c r="J19" s="38" t="s">
        <v>72</v>
      </c>
      <c r="K19" s="32"/>
    </row>
    <row r="20" spans="1:11" s="11" customFormat="1" ht="15">
      <c r="A20" s="32"/>
      <c r="B20" s="32" t="s">
        <v>85</v>
      </c>
      <c r="C20" s="33"/>
      <c r="D20" s="34" t="s">
        <v>74</v>
      </c>
      <c r="E20" s="32" t="s">
        <v>56</v>
      </c>
      <c r="F20" s="32">
        <v>31</v>
      </c>
      <c r="G20" s="32"/>
      <c r="H20" s="36" t="s">
        <v>71</v>
      </c>
      <c r="I20" s="37" t="s">
        <v>89</v>
      </c>
      <c r="J20" s="38" t="s">
        <v>53</v>
      </c>
      <c r="K20" s="32"/>
    </row>
    <row r="21" spans="1:11" s="11" customFormat="1" ht="15">
      <c r="A21" s="12" t="s">
        <v>88</v>
      </c>
      <c r="B21" s="12" t="s">
        <v>98</v>
      </c>
      <c r="C21" s="27" t="str">
        <f>DEC2HEX(HEX2DEC(C18)+4)</f>
        <v>1C</v>
      </c>
      <c r="D21" s="13" t="s">
        <v>99</v>
      </c>
      <c r="E21" s="12" t="s">
        <v>55</v>
      </c>
      <c r="F21" s="25" t="s">
        <v>62</v>
      </c>
      <c r="G21" s="18" t="s">
        <v>106</v>
      </c>
      <c r="H21" s="18" t="s">
        <v>71</v>
      </c>
      <c r="I21" s="12" t="s">
        <v>88</v>
      </c>
      <c r="J21" s="26" t="s">
        <v>63</v>
      </c>
      <c r="K21" s="12"/>
    </row>
    <row r="22" spans="1:11" s="11" customFormat="1" ht="15">
      <c r="A22" s="32"/>
      <c r="B22" s="32" t="s">
        <v>100</v>
      </c>
      <c r="C22" s="33"/>
      <c r="D22" s="34" t="s">
        <v>99</v>
      </c>
      <c r="E22" s="32" t="s">
        <v>56</v>
      </c>
      <c r="F22" s="35" t="s">
        <v>73</v>
      </c>
      <c r="G22" s="32"/>
      <c r="H22" s="36" t="s">
        <v>71</v>
      </c>
      <c r="I22" s="37" t="s">
        <v>89</v>
      </c>
      <c r="J22" s="38" t="s">
        <v>72</v>
      </c>
      <c r="K22" s="32"/>
    </row>
    <row r="23" spans="1:11" s="11" customFormat="1" ht="15">
      <c r="A23" s="32"/>
      <c r="B23" s="32" t="s">
        <v>101</v>
      </c>
      <c r="C23" s="33"/>
      <c r="D23" s="34" t="s">
        <v>74</v>
      </c>
      <c r="E23" s="32" t="s">
        <v>56</v>
      </c>
      <c r="F23" s="32">
        <v>31</v>
      </c>
      <c r="G23" s="32"/>
      <c r="H23" s="36" t="s">
        <v>71</v>
      </c>
      <c r="I23" s="37" t="s">
        <v>89</v>
      </c>
      <c r="J23" s="38" t="s">
        <v>53</v>
      </c>
      <c r="K23" s="32"/>
    </row>
    <row r="24" spans="1:11" s="11" customFormat="1" ht="15">
      <c r="A24" s="12" t="s">
        <v>88</v>
      </c>
      <c r="B24" s="12" t="s">
        <v>102</v>
      </c>
      <c r="C24" s="27" t="str">
        <f>DEC2HEX(HEX2DEC(C21)+4)</f>
        <v>20</v>
      </c>
      <c r="D24" s="13" t="s">
        <v>103</v>
      </c>
      <c r="E24" s="12" t="s">
        <v>55</v>
      </c>
      <c r="F24" s="25" t="s">
        <v>62</v>
      </c>
      <c r="G24" s="18" t="s">
        <v>106</v>
      </c>
      <c r="H24" s="18" t="s">
        <v>71</v>
      </c>
      <c r="I24" s="12" t="s">
        <v>88</v>
      </c>
      <c r="J24" s="26" t="s">
        <v>63</v>
      </c>
      <c r="K24" s="12"/>
    </row>
    <row r="25" spans="1:11" s="11" customFormat="1" ht="15">
      <c r="A25" s="32"/>
      <c r="B25" s="32" t="s">
        <v>100</v>
      </c>
      <c r="C25" s="33"/>
      <c r="D25" s="34" t="s">
        <v>104</v>
      </c>
      <c r="E25" s="32" t="s">
        <v>56</v>
      </c>
      <c r="F25" s="35" t="s">
        <v>73</v>
      </c>
      <c r="G25" s="32"/>
      <c r="H25" s="36" t="s">
        <v>71</v>
      </c>
      <c r="I25" s="37" t="s">
        <v>89</v>
      </c>
      <c r="J25" s="38" t="s">
        <v>72</v>
      </c>
      <c r="K25" s="32"/>
    </row>
    <row r="26" spans="1:11" s="11" customFormat="1" ht="15">
      <c r="A26" s="32"/>
      <c r="B26" s="32" t="s">
        <v>101</v>
      </c>
      <c r="C26" s="33"/>
      <c r="D26" s="34" t="s">
        <v>74</v>
      </c>
      <c r="E26" s="32" t="s">
        <v>56</v>
      </c>
      <c r="F26" s="32">
        <v>31</v>
      </c>
      <c r="G26" s="32"/>
      <c r="H26" s="36" t="s">
        <v>71</v>
      </c>
      <c r="I26" s="37" t="s">
        <v>89</v>
      </c>
      <c r="J26" s="38" t="s">
        <v>53</v>
      </c>
      <c r="K26" s="32"/>
    </row>
    <row r="27" spans="1:11" ht="15">
      <c r="A27" s="14"/>
      <c r="B27" s="14"/>
      <c r="C27" s="14"/>
      <c r="D27"/>
      <c r="E27"/>
      <c r="F27" s="14"/>
      <c r="G27" s="14"/>
      <c r="H27" s="14"/>
      <c r="I27" s="14"/>
      <c r="J27" s="14"/>
    </row>
    <row r="28" spans="1:11" ht="15">
      <c r="A28" s="14"/>
      <c r="B28" s="14"/>
      <c r="C28" s="14"/>
      <c r="D28"/>
      <c r="E28" s="14"/>
      <c r="F28" s="14"/>
      <c r="G28" s="14"/>
      <c r="H28" s="14"/>
      <c r="I28" s="14"/>
      <c r="J28" s="14"/>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2015-07-28T16:18:41Z</dcterms:modified>
</cp:coreProperties>
</file>